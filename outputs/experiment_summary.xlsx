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8_{C5D7634C-4652-41EA-881F-6C2A3B94218E}" xr6:coauthVersionLast="47" xr6:coauthVersionMax="47" xr10:uidLastSave="{00000000-0000-0000-0000-000000000000}"/>
  <bookViews>
    <workbookView xWindow="-110" yWindow="-110" windowWidth="19420" windowHeight="10300" firstSheet="3" activeTab="6" xr2:uid="{7214941D-6A12-43DB-A4F6-5E5973D9E358}"/>
  </bookViews>
  <sheets>
    <sheet name="experiment_data" sheetId="2" r:id="rId1"/>
    <sheet name="Summary_Metrics" sheetId="1" r:id="rId2"/>
    <sheet name="Traffic_Analysis" sheetId="7" r:id="rId3"/>
    <sheet name="Region_Analysis" sheetId="3" r:id="rId4"/>
    <sheet name="Device_Analysis" sheetId="4" r:id="rId5"/>
    <sheet name="Data_Validation    " sheetId="5" r:id="rId6"/>
    <sheet name="Hypothesis_Tes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C4" i="4"/>
  <c r="B4" i="4"/>
  <c r="B4" i="7"/>
  <c r="B2" i="7"/>
  <c r="B5" i="7"/>
  <c r="B6" i="7"/>
  <c r="C6" i="7"/>
  <c r="C5" i="7"/>
  <c r="C4" i="7"/>
  <c r="C3" i="7"/>
  <c r="C2" i="7"/>
  <c r="B3" i="7"/>
  <c r="D12" i="1"/>
  <c r="C12" i="1"/>
  <c r="B12" i="1"/>
  <c r="D11" i="1"/>
  <c r="C11" i="1"/>
  <c r="B11" i="1"/>
  <c r="C3" i="4"/>
  <c r="C2" i="4"/>
  <c r="B3" i="4"/>
  <c r="B2" i="4"/>
  <c r="C5" i="3"/>
  <c r="C4" i="3"/>
  <c r="C3" i="3"/>
  <c r="C2" i="3"/>
  <c r="B5" i="3"/>
  <c r="B4" i="3"/>
  <c r="B3" i="3"/>
  <c r="B2" i="3"/>
  <c r="D3" i="1"/>
  <c r="D4" i="1"/>
  <c r="D5" i="1"/>
  <c r="D6" i="1"/>
  <c r="D7" i="1"/>
  <c r="D8" i="1"/>
  <c r="D9" i="1"/>
  <c r="D10" i="1"/>
  <c r="D2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<sst xmlns="http://schemas.openxmlformats.org/spreadsheetml/2006/main" count="8486" uniqueCount="1474">
  <si>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</si>
  <si>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</si>
  <si>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</si>
  <si>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</si>
  <si>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</si>
  <si>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</si>
  <si>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</si>
  <si>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</si>
  <si>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</si>
  <si>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</si>
  <si>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</si>
  <si>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</si>
  <si>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</si>
  <si>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</si>
  <si>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</si>
  <si>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</si>
  <si>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</si>
  <si>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</si>
  <si>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</si>
  <si>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</si>
  <si>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</si>
  <si>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</si>
  <si>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</si>
  <si>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</si>
  <si>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</si>
  <si>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</si>
  <si>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</si>
  <si>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</si>
  <si>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</si>
  <si>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</si>
  <si>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</si>
  <si>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</si>
  <si>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</si>
  <si>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</si>
  <si>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</si>
  <si>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</si>
  <si>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</si>
  <si>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</si>
  <si>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</si>
  <si>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</si>
  <si>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</si>
  <si>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</si>
  <si>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</si>
  <si>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</si>
  <si>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</si>
  <si>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</si>
  <si>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</si>
  <si>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</si>
  <si>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</si>
  <si>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</si>
  <si>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</si>
  <si>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</si>
  <si>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</si>
  <si>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</si>
  <si>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</si>
  <si>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</si>
  <si>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</si>
  <si>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</si>
  <si>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</si>
  <si>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</si>
  <si>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</si>
  <si>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</si>
  <si>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</si>
  <si>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</si>
  <si>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</si>
  <si>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</si>
  <si>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</si>
  <si>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</si>
  <si>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</si>
  <si>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</si>
  <si>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</si>
  <si>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</si>
  <si>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</si>
  <si>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</si>
  <si>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</si>
  <si>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</si>
  <si>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</si>
  <si>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</si>
  <si>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</si>
  <si>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</si>
  <si>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</si>
  <si>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</si>
  <si>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</si>
  <si>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</si>
  <si>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</si>
  <si>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</si>
  <si>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</si>
  <si>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</si>
  <si>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</si>
  <si>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</si>
  <si>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</si>
  <si>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</si>
  <si>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</si>
  <si>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</si>
  <si>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</si>
  <si>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</si>
  <si>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</si>
  <si>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</si>
  <si>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</si>
  <si>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</si>
  <si>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</si>
  <si>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</si>
  <si>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</si>
  <si>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</si>
  <si>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</si>
  <si>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</si>
  <si>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</si>
  <si>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</si>
  <si>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</si>
  <si>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</si>
  <si>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</si>
  <si>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</si>
  <si>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</si>
  <si>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</si>
  <si>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</si>
  <si>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</si>
  <si>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</si>
  <si>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</si>
  <si>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</si>
  <si>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</si>
  <si>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</si>
  <si>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</si>
  <si>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</si>
  <si>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</si>
  <si>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</si>
  <si>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</si>
  <si>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</si>
  <si>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</si>
  <si>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</si>
  <si>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</si>
  <si>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</si>
  <si>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</si>
  <si>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</si>
  <si>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</si>
  <si>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</si>
  <si>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</si>
  <si>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</si>
  <si>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</si>
  <si>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</si>
  <si>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</si>
  <si>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</si>
  <si>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</si>
  <si>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</si>
  <si>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</si>
  <si>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</si>
  <si>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</si>
  <si>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</si>
  <si>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</si>
  <si>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</si>
  <si>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</si>
  <si>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</si>
  <si>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</si>
  <si>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</si>
  <si>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</si>
  <si>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</si>
  <si>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</si>
  <si>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</si>
  <si>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</si>
  <si>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</si>
  <si>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</si>
  <si>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</si>
  <si>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</si>
  <si>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</si>
  <si>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</si>
  <si>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</si>
  <si>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</si>
  <si>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</si>
  <si>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</si>
  <si>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</si>
  <si>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</si>
  <si>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</si>
  <si>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</si>
  <si>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</si>
  <si>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</si>
  <si>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</si>
  <si>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</si>
  <si>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</si>
  <si>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</si>
  <si>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</si>
  <si>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</si>
  <si>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</si>
  <si>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</si>
  <si>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</si>
  <si>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</si>
  <si>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</si>
  <si>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</si>
  <si>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</si>
  <si>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</si>
  <si>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</si>
  <si>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</si>
  <si>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</si>
  <si>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</si>
  <si>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</si>
  <si>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</si>
  <si>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</si>
  <si>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</si>
  <si>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</si>
  <si>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</si>
  <si>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</si>
  <si>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</si>
  <si>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</si>
  <si>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</si>
  <si>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</si>
  <si>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</si>
  <si>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</si>
  <si>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</si>
  <si>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</si>
  <si>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</si>
  <si>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</si>
  <si>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</si>
  <si>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</si>
  <si>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</si>
  <si>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</si>
  <si>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</si>
  <si>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</si>
  <si>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</si>
  <si>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</si>
  <si>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</si>
  <si>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</si>
  <si>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</si>
  <si>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</si>
  <si>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</si>
  <si>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</si>
  <si>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</si>
  <si>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</si>
  <si>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</si>
  <si>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</si>
  <si>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</si>
  <si>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</si>
  <si>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</si>
  <si>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</si>
  <si>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</si>
  <si>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</si>
  <si>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</si>
  <si>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</si>
  <si>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</si>
  <si>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</si>
  <si>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</si>
  <si>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</si>
  <si>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</si>
  <si>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</si>
  <si>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</si>
  <si>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</si>
  <si>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</si>
  <si>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</si>
  <si>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</si>
  <si>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</si>
  <si>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</si>
  <si>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</si>
  <si>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</si>
  <si>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</si>
  <si>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</si>
  <si>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</si>
  <si>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</si>
  <si>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</si>
  <si>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</si>
  <si>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</si>
  <si>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</si>
  <si>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</si>
  <si>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</si>
  <si>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</si>
  <si>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</si>
  <si>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</si>
  <si>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</si>
  <si>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</si>
  <si>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</si>
  <si>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</si>
  <si>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</si>
  <si>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</si>
  <si>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</si>
  <si>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</si>
  <si>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</si>
  <si>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</si>
  <si>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</si>
  <si>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</si>
  <si>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</si>
  <si>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</si>
  <si>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</si>
  <si>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</si>
  <si>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</si>
  <si>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</si>
  <si>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</si>
  <si>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</si>
  <si>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</si>
  <si>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</si>
  <si>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</si>
  <si>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</si>
  <si>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</si>
  <si>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</si>
  <si>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</si>
  <si>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</si>
  <si>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</si>
  <si>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</si>
  <si>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</si>
  <si>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</si>
  <si>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</si>
  <si>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</si>
  <si>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</si>
  <si>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</si>
  <si>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</si>
  <si>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</si>
  <si>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</si>
  <si>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</si>
  <si>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</si>
  <si>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</si>
  <si>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</si>
  <si>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</si>
  <si>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</si>
  <si>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</si>
  <si>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</si>
  <si>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</si>
  <si>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</si>
  <si>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</si>
  <si>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</si>
  <si>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</si>
  <si>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</si>
  <si>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</si>
  <si>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</si>
  <si>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</si>
  <si>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</si>
  <si>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</si>
  <si>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</si>
  <si>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</si>
  <si>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</si>
  <si>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</si>
  <si>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</si>
  <si>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</si>
  <si>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</si>
  <si>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</si>
  <si>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</si>
  <si>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</si>
  <si>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</si>
  <si>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</si>
  <si>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</si>
  <si>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</si>
  <si>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</si>
  <si>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</si>
  <si>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</si>
  <si>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</si>
  <si>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</si>
  <si>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</si>
  <si>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</si>
  <si>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</si>
  <si>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</si>
  <si>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</si>
  <si>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</si>
  <si>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</si>
  <si>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</si>
  <si>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</si>
  <si>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</si>
  <si>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</si>
  <si>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</si>
  <si>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</si>
  <si>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</si>
  <si>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</si>
  <si>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</si>
  <si>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</si>
  <si>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</si>
  <si>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</si>
  <si>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</si>
  <si>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</si>
  <si>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</si>
  <si>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</si>
  <si>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</si>
  <si>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</si>
  <si>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</si>
  <si>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</si>
  <si>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</si>
  <si>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</si>
  <si>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</si>
  <si>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</si>
  <si>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</si>
  <si>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</si>
  <si>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</si>
  <si>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</si>
  <si>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</si>
  <si>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</si>
  <si>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</si>
  <si>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</si>
  <si>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</si>
  <si>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</si>
  <si>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</si>
  <si>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</si>
  <si>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</si>
  <si>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</si>
  <si>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</si>
  <si>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</si>
  <si>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</si>
  <si>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</si>
  <si>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</si>
  <si>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</si>
  <si>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</si>
  <si>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</si>
  <si>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</si>
  <si>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</si>
  <si>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</si>
  <si>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</si>
  <si>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</si>
  <si>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</si>
  <si>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</si>
  <si>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</si>
  <si>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</si>
  <si>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</si>
  <si>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</si>
  <si>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</si>
  <si>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</si>
  <si>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</si>
  <si>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</si>
  <si>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</si>
  <si>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</si>
  <si>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</si>
  <si>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</si>
  <si>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</si>
  <si>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</si>
  <si>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</si>
  <si>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</si>
  <si>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</si>
  <si>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</si>
  <si>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</si>
  <si>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</si>
  <si>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</si>
  <si>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</si>
  <si>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</si>
  <si>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</si>
  <si>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</si>
  <si>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</si>
  <si>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</si>
  <si>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</si>
  <si>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</si>
  <si>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</si>
  <si>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</si>
  <si>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</si>
  <si>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</si>
  <si>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</si>
  <si>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</si>
  <si>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</si>
  <si>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</si>
  <si>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</si>
  <si>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</si>
  <si>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</si>
  <si>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</si>
  <si>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</si>
  <si>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</si>
  <si>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</si>
  <si>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</si>
  <si>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</si>
  <si>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</si>
  <si>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</si>
  <si>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</si>
  <si>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</si>
  <si>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</si>
  <si>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</si>
  <si>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</si>
  <si>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</si>
  <si>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</si>
  <si>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</si>
  <si>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</si>
  <si>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</si>
  <si>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</si>
  <si>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</si>
  <si>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</si>
  <si>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</si>
  <si>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</si>
  <si>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</si>
  <si>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</si>
  <si>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</si>
  <si>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</si>
  <si>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</si>
  <si>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</si>
  <si>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</si>
  <si>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</si>
  <si>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</si>
  <si>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</si>
  <si>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</si>
  <si>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</si>
  <si>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</si>
  <si>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</si>
  <si>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</si>
  <si>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</si>
  <si>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</si>
  <si>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</si>
  <si>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</si>
  <si>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</si>
  <si>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</si>
  <si>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</si>
  <si>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</si>
  <si>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</si>
  <si>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</si>
  <si>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</si>
  <si>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</si>
  <si>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</si>
  <si>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</si>
  <si>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</si>
  <si>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</si>
  <si>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</si>
  <si>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</si>
  <si>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</si>
  <si>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</si>
  <si>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</si>
  <si>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</si>
  <si>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</si>
  <si>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</si>
  <si>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</si>
  <si>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</si>
  <si>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</si>
  <si>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</si>
  <si>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</si>
  <si>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</si>
  <si>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</si>
  <si>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</si>
  <si>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</si>
  <si>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</si>
  <si>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</si>
  <si>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</si>
  <si>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</si>
  <si>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</si>
  <si>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</si>
  <si>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</si>
  <si>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</si>
  <si>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</si>
  <si>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</si>
  <si>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</si>
  <si>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</si>
  <si>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</si>
  <si>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</si>
  <si>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</si>
  <si>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</si>
  <si>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</si>
  <si>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</si>
  <si>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</si>
  <si>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</si>
  <si>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</si>
  <si>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</si>
  <si>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</si>
  <si>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</si>
  <si>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</si>
  <si>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</si>
  <si>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</si>
  <si>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</si>
  <si>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</si>
  <si>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</si>
  <si>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</si>
  <si>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</si>
  <si>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</si>
  <si>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</si>
  <si>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</si>
  <si>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</si>
  <si>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</si>
  <si>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</si>
  <si>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</si>
  <si>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</si>
  <si>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</si>
  <si>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</si>
  <si>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</si>
  <si>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</si>
  <si>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</si>
  <si>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</si>
  <si>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</si>
  <si>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</si>
  <si>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</si>
  <si>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</si>
  <si>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</si>
  <si>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</si>
  <si>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</si>
  <si>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</si>
  <si>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</si>
  <si>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</si>
  <si>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</si>
  <si>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</si>
  <si>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</si>
  <si>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</si>
  <si>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</si>
  <si>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</si>
  <si>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</si>
  <si>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</si>
  <si>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</si>
  <si>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</si>
  <si>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</si>
  <si>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</si>
  <si>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</si>
  <si>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</si>
  <si>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</si>
  <si>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</si>
  <si>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</si>
  <si>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</si>
  <si>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</si>
  <si>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</si>
  <si>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</si>
  <si>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</si>
  <si>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</si>
  <si>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</si>
  <si>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</si>
  <si>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</si>
  <si>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</si>
  <si>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</si>
  <si>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</si>
  <si>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</si>
  <si>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</si>
  <si>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</si>
  <si>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</si>
  <si>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</si>
  <si>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</si>
  <si>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</si>
  <si>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</si>
  <si>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</si>
  <si>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</si>
  <si>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</si>
  <si>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</si>
  <si>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</si>
  <si>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</si>
  <si>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</si>
  <si>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</si>
  <si>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</si>
  <si>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</si>
  <si>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</si>
  <si>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</si>
  <si>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</si>
  <si>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</si>
  <si>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</si>
  <si>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</si>
  <si>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</si>
  <si>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</si>
  <si>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</si>
  <si>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</si>
  <si>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</si>
  <si>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</si>
  <si>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</si>
  <si>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</si>
  <si>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</si>
  <si>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</si>
  <si>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</si>
  <si>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</si>
  <si>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</si>
  <si>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</si>
  <si>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</si>
  <si>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</si>
  <si>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</si>
  <si>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</si>
  <si>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</si>
  <si>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</si>
  <si>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</si>
  <si>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</si>
  <si>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</si>
  <si>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</si>
  <si>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</si>
  <si>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</si>
  <si>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</si>
  <si>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</si>
  <si>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</si>
  <si>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</si>
  <si>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</si>
  <si>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</si>
  <si>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</si>
  <si>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</si>
  <si>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</si>
  <si>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</si>
  <si>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</si>
  <si>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</si>
  <si>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</si>
  <si>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</si>
  <si>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</si>
  <si>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</si>
  <si>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</si>
  <si>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</si>
  <si>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</si>
  <si>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</si>
  <si>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</si>
  <si>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</si>
  <si>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</si>
  <si>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</si>
  <si>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</si>
  <si>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</si>
  <si>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</si>
  <si>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</si>
  <si>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</si>
  <si>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</si>
  <si>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</si>
  <si>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</si>
  <si>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</si>
  <si>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</si>
  <si>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</si>
  <si>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</si>
  <si>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</si>
  <si>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</si>
  <si>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</si>
  <si>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</si>
  <si>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</si>
  <si>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</si>
  <si>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</si>
  <si>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</si>
  <si>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</si>
  <si>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</si>
  <si>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</si>
  <si>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</si>
  <si>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</si>
  <si>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</si>
  <si>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</si>
  <si>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</si>
  <si>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</si>
  <si>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</si>
  <si>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</si>
  <si>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</si>
  <si>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</si>
  <si>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</si>
  <si>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</si>
  <si>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</si>
  <si>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</si>
  <si>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</si>
  <si>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</si>
  <si>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</si>
  <si>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</si>
  <si>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</si>
  <si>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</si>
  <si>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</si>
  <si>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</si>
  <si>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</si>
  <si>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</si>
  <si>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</si>
  <si>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</si>
  <si>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</si>
  <si>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</si>
  <si>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</si>
  <si>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</si>
  <si>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</si>
  <si>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</si>
  <si>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</si>
  <si>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</si>
  <si>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</si>
  <si>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</si>
  <si>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</si>
  <si>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</si>
  <si>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</si>
  <si>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</si>
  <si>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</si>
  <si>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</si>
  <si>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</si>
  <si>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</si>
  <si>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</si>
  <si>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</si>
  <si>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</si>
  <si>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</si>
  <si>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</si>
  <si>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</si>
  <si>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</si>
  <si>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</si>
  <si>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</si>
  <si>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</si>
  <si>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</si>
  <si>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</si>
  <si>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</si>
  <si>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</si>
  <si>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</si>
  <si>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</si>
  <si>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</si>
  <si>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</si>
  <si>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</si>
  <si>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</si>
  <si>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</si>
  <si>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</si>
  <si>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</si>
  <si>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</si>
  <si>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</si>
  <si>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</si>
  <si>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</si>
  <si>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</si>
  <si>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</si>
  <si>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</si>
  <si>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</si>
  <si>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</si>
  <si>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</si>
  <si>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</si>
  <si>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</si>
  <si>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</si>
  <si>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</si>
  <si>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</si>
  <si>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</si>
  <si>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</si>
  <si>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</si>
  <si>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</si>
  <si>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</si>
  <si>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</si>
  <si>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</si>
  <si>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</si>
  <si>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</si>
  <si>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</si>
  <si>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</si>
  <si>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</si>
  <si>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</si>
  <si>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</si>
  <si>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</si>
  <si>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</si>
  <si>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</si>
  <si>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</si>
  <si>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</si>
  <si>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</si>
  <si>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</si>
  <si>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</si>
  <si>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</si>
  <si>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</si>
  <si>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</si>
  <si>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</si>
  <si>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</si>
  <si>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</si>
  <si>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</si>
  <si>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</si>
  <si>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</si>
  <si>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</si>
  <si>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</si>
  <si>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</si>
  <si>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</si>
  <si>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</si>
  <si>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</si>
  <si>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</si>
  <si>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</si>
  <si>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</si>
  <si>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</si>
  <si>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</si>
  <si>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</si>
  <si>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</si>
  <si>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</si>
  <si>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</si>
  <si>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</si>
  <si>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</si>
  <si>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</si>
  <si>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</si>
  <si>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</si>
  <si>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</si>
  <si>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</si>
  <si>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</si>
  <si>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</si>
  <si>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</si>
  <si>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</si>
  <si>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</si>
  <si>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</si>
  <si>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</si>
  <si>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</si>
  <si>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</si>
  <si>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</si>
  <si>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</si>
  <si>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</si>
  <si>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</si>
  <si>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</si>
  <si>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</si>
  <si>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</si>
  <si>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</si>
  <si>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</si>
  <si>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</si>
  <si>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</si>
  <si>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</si>
  <si>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</si>
  <si>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</si>
  <si>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</si>
  <si>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</si>
  <si>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</si>
  <si>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</si>
  <si>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</si>
  <si>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</si>
  <si>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</si>
  <si>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</si>
  <si>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</si>
  <si>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</si>
  <si>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</si>
  <si>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</si>
  <si>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</si>
  <si>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</si>
  <si>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</si>
  <si>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</si>
  <si>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</si>
  <si>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</si>
  <si>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</si>
  <si>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</si>
  <si>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</si>
  <si>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</si>
  <si>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</si>
  <si>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</si>
  <si>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</si>
  <si>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</si>
  <si>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</si>
  <si>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</si>
  <si>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</si>
  <si>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</si>
  <si>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</si>
  <si>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</si>
  <si>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</si>
  <si>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</si>
  <si>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</si>
  <si>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</si>
  <si>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</si>
  <si>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</si>
  <si>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</si>
  <si>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</si>
  <si>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</si>
  <si>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</si>
  <si>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</si>
  <si>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</si>
  <si>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</si>
  <si>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</si>
  <si>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</si>
  <si>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</si>
  <si>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</si>
  <si>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</si>
  <si>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</si>
  <si>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</si>
  <si>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</si>
  <si>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</si>
  <si>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</si>
  <si>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</si>
  <si>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</si>
  <si>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</si>
  <si>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</si>
  <si>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</si>
  <si>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</si>
  <si>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</si>
  <si>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</si>
  <si>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</si>
  <si>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</si>
  <si>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</si>
  <si>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</si>
  <si>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</si>
  <si>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</si>
  <si>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</si>
  <si>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</si>
  <si>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</si>
  <si>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</si>
  <si>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</si>
  <si>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</si>
  <si>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</si>
  <si>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</si>
  <si>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</si>
  <si>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</si>
  <si>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</si>
  <si>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</si>
  <si>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</si>
  <si>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</si>
  <si>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</si>
  <si>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</si>
  <si>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</si>
  <si>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</si>
  <si>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</si>
  <si>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</si>
  <si>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</si>
  <si>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</si>
  <si>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</si>
  <si>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</si>
  <si>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</si>
  <si>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</si>
  <si>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</si>
  <si>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</si>
  <si>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</si>
  <si>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</si>
  <si>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</si>
  <si>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</si>
  <si>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</si>
  <si>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</si>
  <si>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</si>
  <si>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</si>
  <si>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</si>
  <si>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</si>
  <si>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</si>
  <si>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</si>
  <si>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</si>
  <si>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</si>
  <si>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</si>
  <si>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</si>
  <si>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</si>
  <si>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</si>
  <si>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</si>
  <si>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</si>
  <si>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</si>
  <si>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</si>
  <si>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</si>
  <si>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</si>
  <si>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</si>
  <si>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</si>
  <si>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</si>
  <si>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</si>
  <si>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</si>
  <si>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</si>
  <si>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</si>
  <si>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</si>
  <si>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</si>
  <si>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</si>
  <si>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</si>
  <si>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</si>
  <si>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</si>
  <si>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</si>
  <si>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</si>
  <si>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</si>
  <si>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</si>
  <si>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</si>
  <si>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</si>
  <si>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</si>
  <si>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</si>
  <si>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</si>
  <si>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</si>
  <si>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</si>
  <si>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</si>
  <si>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</si>
  <si>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</si>
  <si>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</si>
  <si>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</si>
  <si>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</si>
  <si>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</si>
  <si>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</si>
  <si>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</si>
  <si>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</si>
  <si>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</si>
  <si>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</si>
  <si>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</si>
  <si>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</si>
  <si>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</si>
  <si>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</si>
  <si>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</si>
  <si>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</si>
  <si>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</si>
  <si>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</si>
  <si>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</si>
  <si>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</si>
  <si>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</si>
  <si>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</si>
  <si>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</si>
  <si>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</si>
  <si>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</si>
  <si>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</si>
  <si>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</si>
  <si>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</si>
  <si>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</si>
  <si>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</si>
  <si>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</si>
  <si>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</si>
  <si>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</si>
  <si>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</si>
  <si>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</si>
  <si>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</si>
  <si>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</si>
  <si>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</si>
  <si>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</si>
  <si>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</si>
  <si>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</si>
  <si>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</si>
  <si>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</si>
  <si>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</si>
  <si>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</si>
  <si>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</si>
  <si>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</si>
  <si>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</si>
  <si>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</si>
  <si>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</si>
  <si>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</si>
  <si>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</si>
  <si>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</si>
  <si>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</si>
  <si>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</si>
  <si>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</si>
  <si>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</si>
  <si>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</si>
  <si>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</si>
  <si>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</si>
  <si>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</si>
  <si>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</si>
  <si>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</si>
  <si>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</si>
  <si>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</si>
  <si>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</si>
  <si>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</si>
  <si>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</si>
  <si>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</si>
  <si>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</si>
  <si>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</si>
  <si>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</si>
  <si>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</si>
  <si>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</si>
  <si>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</si>
  <si>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</si>
  <si>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</si>
  <si>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</si>
  <si>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</si>
  <si>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</si>
  <si>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</si>
  <si>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</si>
  <si>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</si>
  <si>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</si>
  <si>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</si>
  <si>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</si>
  <si>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</si>
  <si>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</si>
  <si>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</si>
  <si>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</si>
  <si>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</si>
  <si>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</si>
  <si>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</si>
  <si>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</si>
  <si>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</si>
  <si>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</si>
  <si>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</si>
  <si>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</si>
  <si>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</si>
  <si>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</si>
  <si>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</si>
  <si>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</si>
  <si>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</si>
  <si>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</si>
  <si>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</si>
  <si>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</si>
  <si>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</si>
  <si>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</si>
  <si>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</si>
  <si>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</si>
  <si>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</si>
  <si>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</si>
  <si>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</si>
  <si>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</si>
  <si>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</si>
  <si>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</si>
  <si>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</si>
  <si>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</si>
  <si>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</si>
  <si>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</si>
  <si>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</si>
  <si>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</si>
  <si>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</si>
  <si>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</si>
  <si>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</si>
  <si>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</si>
  <si>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</si>
  <si>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</si>
  <si>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</si>
  <si>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</si>
  <si>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</si>
  <si>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</si>
  <si>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</si>
  <si>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</si>
  <si>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</si>
  <si>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</si>
  <si>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</si>
  <si>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</si>
  <si>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</si>
  <si>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</si>
  <si>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</si>
  <si>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</si>
  <si>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</si>
  <si>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</si>
  <si>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</si>
  <si>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</si>
  <si>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</si>
  <si>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</si>
  <si>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</si>
  <si>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</si>
  <si>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</si>
  <si>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</si>
  <si>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</si>
  <si>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</si>
  <si>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</si>
  <si>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</si>
  <si>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</si>
  <si>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</si>
  <si>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</si>
  <si>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</si>
  <si>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</si>
  <si>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</si>
  <si>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</si>
  <si>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</si>
  <si>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</si>
  <si>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</si>
  <si>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</si>
  <si>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</si>
  <si>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</si>
  <si>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</si>
  <si>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</si>
  <si>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</si>
  <si>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</si>
  <si>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</si>
  <si>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</si>
  <si>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</si>
  <si>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</si>
  <si>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</si>
  <si>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</si>
  <si>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</si>
  <si>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</si>
  <si>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</si>
  <si>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</si>
  <si>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</si>
  <si>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</si>
  <si>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</si>
  <si>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</si>
  <si>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</si>
  <si>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</si>
  <si>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</si>
  <si>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</si>
  <si>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</si>
  <si>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</si>
  <si>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</si>
  <si>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</si>
  <si>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</si>
  <si>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</si>
  <si>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</si>
  <si>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</si>
  <si>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</si>
  <si>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</si>
  <si>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</si>
  <si>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</si>
  <si>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</si>
  <si>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</si>
  <si>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</si>
  <si>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</si>
  <si>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</si>
  <si>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</si>
  <si>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</si>
  <si>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</si>
  <si>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</si>
  <si>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</si>
  <si>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</si>
  <si>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</si>
  <si>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</si>
  <si>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</si>
  <si>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</si>
  <si>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</si>
  <si>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</si>
  <si>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</si>
  <si>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</si>
  <si>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</si>
  <si>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</si>
  <si>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</si>
  <si>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</si>
  <si>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</si>
  <si>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</si>
  <si>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</si>
  <si>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</si>
  <si>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</si>
  <si>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</si>
  <si>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</si>
  <si>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</si>
  <si>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</si>
  <si>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</si>
  <si>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</si>
  <si>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</si>
  <si>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</si>
  <si>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</si>
  <si>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</si>
  <si>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</si>
  <si>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</si>
  <si>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</si>
  <si>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</si>
  <si>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</si>
  <si>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</si>
  <si>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</si>
  <si>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</si>
  <si>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</si>
  <si>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</si>
  <si>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</si>
  <si>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</si>
  <si>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</si>
  <si>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</si>
  <si>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</si>
  <si>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</si>
  <si>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</si>
  <si>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</si>
  <si>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</si>
  <si>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</si>
  <si>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</si>
  <si>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</si>
  <si>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</si>
  <si>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</si>
  <si>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</si>
  <si>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</si>
  <si>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</si>
  <si>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</si>
  <si>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</si>
  <si>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</si>
  <si>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</si>
  <si>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</si>
  <si>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</si>
  <si>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</si>
  <si>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</si>
  <si>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</si>
  <si>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</si>
  <si>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</si>
  <si>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</si>
  <si>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</si>
  <si>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</si>
  <si>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</si>
  <si>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</si>
  <si>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</si>
  <si>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</si>
  <si>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</si>
  <si>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</si>
  <si>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</si>
  <si>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</si>
  <si>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</si>
  <si>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</si>
  <si>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</si>
  <si>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</si>
  <si>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</si>
  <si>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</si>
  <si>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</si>
  <si>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</si>
  <si>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</si>
  <si>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</si>
  <si>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</si>
  <si>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</si>
  <si>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</si>
  <si>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</si>
  <si>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</si>
  <si>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</si>
  <si>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</si>
  <si>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</si>
  <si>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</si>
  <si>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</si>
  <si>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</si>
  <si>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</si>
  <si>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</si>
  <si>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</si>
  <si>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</si>
  <si>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</si>
  <si>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</si>
  <si>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</si>
  <si>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</si>
  <si>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</si>
  <si>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</si>
  <si>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</si>
  <si>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</si>
  <si>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</si>
  <si>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</si>
  <si>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</si>
  <si>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</si>
  <si>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</si>
  <si>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</si>
  <si>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</si>
  <si>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</si>
  <si>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</si>
  <si>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</si>
  <si>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</si>
  <si>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</si>
  <si>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</si>
  <si>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</si>
  <si>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</si>
  <si>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</si>
  <si>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</si>
  <si>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</si>
  <si>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</si>
  <si>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</si>
  <si>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</si>
  <si>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</si>
  <si>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</si>
  <si>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</si>
  <si>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</si>
  <si>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</si>
  <si>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</si>
  <si>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</si>
  <si>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</si>
  <si>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</si>
  <si>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</si>
  <si>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</si>
  <si>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</si>
  <si>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</si>
  <si>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</si>
  <si>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</si>
  <si>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</si>
  <si>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</si>
  <si>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</si>
  <si>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</si>
  <si>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</si>
  <si>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</si>
  <si>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</si>
  <si>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</si>
  <si>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</si>
  <si>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</si>
  <si>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</si>
  <si>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</si>
  <si>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</si>
  <si>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</si>
  <si>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</si>
  <si>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</si>
  <si>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</si>
  <si>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</si>
  <si>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</si>
  <si>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</si>
  <si>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</si>
  <si>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</si>
  <si>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</si>
  <si>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</si>
  <si>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</si>
  <si>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</si>
  <si>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</si>
  <si>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</si>
  <si>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</si>
  <si>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</si>
  <si>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</si>
  <si>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</si>
  <si>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</si>
  <si>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</si>
  <si>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</si>
  <si>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</si>
  <si>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</si>
  <si>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</si>
  <si>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</si>
  <si>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</si>
  <si>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</si>
  <si>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</si>
  <si>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</si>
  <si>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</si>
  <si>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</si>
  <si>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</si>
  <si>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</si>
  <si>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</si>
  <si>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</si>
  <si>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</si>
  <si>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</si>
  <si>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</si>
  <si>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</si>
  <si>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</si>
  <si>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</si>
  <si>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</si>
  <si>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</si>
  <si>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</si>
  <si>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</si>
  <si>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</si>
  <si>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</si>
  <si>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</si>
  <si>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</si>
  <si>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</si>
  <si>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</si>
  <si>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</si>
  <si>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</si>
  <si>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</si>
  <si>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</si>
  <si>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</si>
  <si>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</si>
  <si>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</si>
  <si>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</si>
  <si>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</si>
  <si>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</si>
  <si>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</si>
  <si>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</si>
  <si>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</si>
  <si>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</si>
  <si>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</si>
  <si>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</si>
  <si>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</si>
  <si>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Refund Rate</t>
  </si>
  <si>
    <t>Support Ticket Rate</t>
  </si>
  <si>
    <t>Avg Engagement Score</t>
  </si>
  <si>
    <t>Metric</t>
  </si>
  <si>
    <t>Difference</t>
  </si>
  <si>
    <t>Region</t>
  </si>
  <si>
    <t>Control Conversion Rate</t>
  </si>
  <si>
    <t>Treatment Conversion Rate</t>
  </si>
  <si>
    <t>Device</t>
  </si>
  <si>
    <t>Check</t>
  </si>
  <si>
    <t>Result</t>
  </si>
  <si>
    <t>Missing Values</t>
  </si>
  <si>
    <t>Checked</t>
  </si>
  <si>
    <t>Duplicate User IDs</t>
  </si>
  <si>
    <t>Invalid Binary Values</t>
  </si>
  <si>
    <t>Revenue Outliers</t>
  </si>
  <si>
    <t>Reviewed</t>
  </si>
  <si>
    <t>Control Users</t>
  </si>
  <si>
    <t>Treatment Users</t>
  </si>
  <si>
    <t>Item</t>
  </si>
  <si>
    <t>Value</t>
  </si>
  <si>
    <t>North Star Metric</t>
  </si>
  <si>
    <t>Null Hypothesis</t>
  </si>
  <si>
    <t>No difference</t>
  </si>
  <si>
    <t>Alternative Hypothesis</t>
  </si>
  <si>
    <t>Treatment higher</t>
  </si>
  <si>
    <t>Alpha</t>
  </si>
  <si>
    <t>Decision</t>
  </si>
  <si>
    <t>Reject H0</t>
  </si>
  <si>
    <t>Recommendation</t>
  </si>
  <si>
    <t>Launch Treatment</t>
  </si>
  <si>
    <t>Avg Revenue Per Converted User</t>
  </si>
  <si>
    <t>Avg Days to Convert</t>
  </si>
  <si>
    <t>Traffic Source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</si>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</sst>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2" borderId="0" xfId="2" applyFont="1" applyFill="1" applyAlignment="1">
      <alignment horizontal="center" vertical="center" wrapText="1"/>
    </xf>
    <xf numFmtId="0" fontId="2" fillId="0" borderId="0" xfId="2"/>
    <xf numFmtId="164" fontId="2" fillId="0" borderId="0" xfId="2" applyNumberFormat="1"/>
    <xf numFmtId="10" fontId="0" fillId="0" borderId="0" xfId="1" applyNumberFormat="1" applyFont="1"/>
    <xf numFmtId="165" fontId="0" fillId="0" borderId="0" xfId="1" applyNumberFormat="1" applyFont="1"/>
    <xf numFmtId="2" fontId="0" fillId="0" borderId="0" xfId="1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/>
    <xf numFmtId="0" fontId="5" fillId="3" borderId="0" xfId="0" applyFont="1" applyFill="1"/>
    <xf numFmtId="0" fontId="6" fillId="0" borderId="0" xfId="0" applyFont="1"/>
    <xf numFmtId="10" fontId="7" fillId="0" borderId="0" xfId="1" applyNumberFormat="1" applyFont="1"/>
  </cellXfs>
  <cellStyles count="3">
    <cellStyle name="Normal" xfId="0" builtinId="0"/>
    <cellStyle name="Normal 2" xfId="2" xr:uid="{5820403C-F0BE-4E8C-A176-16BCC421935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C4AA-0EF8-4A6B-B423-C54FBDF57677}">
  <dimension ref="A1:P1409"/>
  <sheetViews>
    <sheetView workbookViewId="0"/>
  </sheetViews>
  <sheetFormatPr defaultRowHeight="14"/>
  <cols>
    <col min="1" max="16" width="17.453125" style="2" customWidth="1"/>
    <col min="17" max="16384" width="8.7265625" style="2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EEF9-5D10-44D2-9DC7-1EA9C8998190}">
  <dimension ref="A1:D12"/>
  <sheetViews>
    <sheetView zoomScale="106" workbookViewId="0">
      <selection activeCell="B10" sqref="B10"/>
    </sheetView>
  </sheetViews>
  <sheetFormatPr defaultRowHeight="14.5"/>
  <cols>
    <col min="1" max="1" width="26.6328125" customWidth="1"/>
    <col min="2" max="2" width="18" customWidth="1"/>
    <col min="3" max="3" width="11.90625" customWidth="1"/>
    <col min="4" max="4" width="10.08984375" customWidth="1"/>
  </cols>
  <sheetData>
    <row r="1" spans="1:4">
      <c r="A1" s="11" t="s">
        <v>1442</v>
      </c>
      <c r="B1" s="11" t="s">
        <v>17</v>
      </c>
      <c r="C1" s="11" t="s">
        <v>723</v>
      </c>
      <c r="D1" s="11" t="s">
        <v>1443</v>
      </c>
    </row>
    <row r="2" spans="1:4">
      <c r="A2" t="s">
        <v>1433</v>
      </c>
      <c r="B2">
        <f>COUNTIF(experiment_data!C:C,"Control")</f>
        <v>693</v>
      </c>
      <c r="C2">
        <f>COUNTIF(experiment_data!C:C,"Treatment")</f>
        <v>715</v>
      </c>
      <c r="D2">
        <f>C2-B2</f>
        <v>22</v>
      </c>
    </row>
    <row r="3" spans="1:4">
      <c r="A3" s="5" t="s">
        <v>1434</v>
      </c>
      <c r="B3" s="4">
        <f>COUNTIFS(experiment_data!C:C,"Control",experiment_data!H:H,1)/COUNTIF(experiment_data!C:C,"Control")</f>
        <v>0.63636363636363635</v>
      </c>
      <c r="C3" s="4">
        <f>COUNTIFS(experiment_data!C:C,"Treatment",experiment_data!H:H,1)/COUNTIF(experiment_data!C:C,"Treatment")</f>
        <v>0.72587412587412592</v>
      </c>
      <c r="D3" s="10">
        <f t="shared" ref="D3:D10" si="0">C3-B3</f>
        <v>8.9510489510489566E-2</v>
      </c>
    </row>
    <row r="4" spans="1:4">
      <c r="A4" s="5" t="s">
        <v>1435</v>
      </c>
      <c r="B4" s="4">
        <f>COUNTIFS(experiment_data!C:C,"Control",experiment_data!I:I,1)/COUNTIF(experiment_data!C:C,"Control")</f>
        <v>0.25108225108225107</v>
      </c>
      <c r="C4" s="4">
        <f>COUNTIFS(experiment_data!C:C,"Treatment",experiment_data!I:I,1)/COUNTIF(experiment_data!C:C,"Treatment")</f>
        <v>0.29090909090909089</v>
      </c>
      <c r="D4" s="10">
        <f t="shared" si="0"/>
        <v>3.9826839826839822E-2</v>
      </c>
    </row>
    <row r="5" spans="1:4">
      <c r="A5" s="5" t="s">
        <v>1436</v>
      </c>
      <c r="B5" s="4">
        <f>COUNTIFS(experiment_data!C:C,"Control",experiment_data!J:J,1)/COUNTIF(experiment_data!C:C,"Control")</f>
        <v>0.15584415584415584</v>
      </c>
      <c r="C5" s="4">
        <f>COUNTIFS(experiment_data!C:C,"Treatment",experiment_data!J:J,1)/COUNTIF(experiment_data!C:C,"Treatment")</f>
        <v>0.21258741258741259</v>
      </c>
      <c r="D5" s="10">
        <f t="shared" si="0"/>
        <v>5.6743256743256754E-2</v>
      </c>
    </row>
    <row r="6" spans="1:4">
      <c r="A6" s="5" t="s">
        <v>1437</v>
      </c>
      <c r="B6" s="4">
        <f>COUNTIFS(experiment_data!C:C,"Control",experiment_data!K:K,1)/COUNTIF(experiment_data!C:C,"Control")</f>
        <v>3.1746031746031744E-2</v>
      </c>
      <c r="C6" s="4">
        <f>COUNTIFS(experiment_data!C:C,"Treatment",experiment_data!K:K,1)/COUNTIF(experiment_data!C:C,"Treatment")</f>
        <v>6.9930069930069935E-2</v>
      </c>
      <c r="D6" s="10">
        <f t="shared" si="0"/>
        <v>3.8184038184038191E-2</v>
      </c>
    </row>
    <row r="7" spans="1:4">
      <c r="A7" s="5" t="s">
        <v>1438</v>
      </c>
      <c r="B7" s="6">
        <f>AVERAGEIF(experiment_data!C:C,"Control",experiment_data!L:L)</f>
        <v>51.74932178932179</v>
      </c>
      <c r="C7" s="6">
        <f>AVERAGEIF(experiment_data!C:C,"Treatment",experiment_data!L:L)</f>
        <v>53.875118881118873</v>
      </c>
      <c r="D7" s="10">
        <f t="shared" si="0"/>
        <v>2.1257970917970823</v>
      </c>
    </row>
    <row r="8" spans="1:4">
      <c r="A8" s="5" t="s">
        <v>1439</v>
      </c>
      <c r="B8" s="4">
        <f>COUNTIFS(experiment_data!C:C,"Control",experiment_data!N:N,1)/COUNTIF(experiment_data!C:C,"Control")</f>
        <v>0</v>
      </c>
      <c r="C8" s="4">
        <f>COUNTIFS(experiment_data!C:C,"Treatment",experiment_data!N:N,1)/COUNTIF(experiment_data!C:C,"Treatment")</f>
        <v>4.1958041958041958E-3</v>
      </c>
      <c r="D8" s="10">
        <f t="shared" si="0"/>
        <v>4.1958041958041958E-3</v>
      </c>
    </row>
    <row r="9" spans="1:4">
      <c r="A9" s="5" t="s">
        <v>1440</v>
      </c>
      <c r="B9" s="4">
        <f>COUNTIFS(experiment_data!C:C,"Control",experiment_data!M:M,"&gt;0")/COUNTIF(experiment_data!C:C,"Control")</f>
        <v>0.1471861471861472</v>
      </c>
      <c r="C9" s="4">
        <f>COUNTIFS(experiment_data!C:C,"Treatment",experiment_data!M:M,"&gt;0")/COUNTIF(experiment_data!C:C,"Treatment")</f>
        <v>0.24755244755244754</v>
      </c>
      <c r="D9" s="10">
        <f t="shared" si="0"/>
        <v>0.10036630036630034</v>
      </c>
    </row>
    <row r="10" spans="1:4">
      <c r="A10" t="s">
        <v>1441</v>
      </c>
      <c r="B10" s="10">
        <f>AVERAGEIF(experiment_data!C:C,"Control",experiment_data!P:P)</f>
        <v>57.026200873362491</v>
      </c>
      <c r="C10" s="10">
        <f>AVERAGEIF(experiment_data!C:C,"Treatment",experiment_data!P:P)</f>
        <v>62.931966053748233</v>
      </c>
      <c r="D10" s="10">
        <f t="shared" si="0"/>
        <v>5.9057651803857425</v>
      </c>
    </row>
    <row r="11" spans="1:4">
      <c r="A11" t="s">
        <v>1470</v>
      </c>
      <c r="B11">
        <f>AVERAGEIFS(experiment_data!L:L,experiment_data!C:C,"Control",experiment_data!K:K,1)</f>
        <v>1630.1036363636363</v>
      </c>
      <c r="C11">
        <f>AVERAGEIFS(experiment_data!L:L,experiment_data!C:C,"Treatment",experiment_data!K:K,1)</f>
        <v>770.41419999999982</v>
      </c>
      <c r="D11">
        <f>C11-B11</f>
        <v>-859.68943636363645</v>
      </c>
    </row>
    <row r="12" spans="1:4">
      <c r="A12" t="s">
        <v>1471</v>
      </c>
      <c r="B12">
        <f>AVERAGEIF(experiment_data!C:C,"Control",experiment_data!O:O)</f>
        <v>8.8636363636363633</v>
      </c>
      <c r="C12">
        <f>AVERAGEIF(experiment_data!C:C,"Treatment",experiment_data!O:O)</f>
        <v>6.4</v>
      </c>
      <c r="D12">
        <f>C12-B12</f>
        <v>-2.463636363636363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A3B6-7F04-499A-905F-5EB9CC90BB85}">
  <dimension ref="A1:C6"/>
  <sheetViews>
    <sheetView workbookViewId="0"/>
  </sheetViews>
  <sheetFormatPr defaultRowHeight="14.5"/>
  <cols>
    <col min="1" max="1" width="18.26953125" customWidth="1"/>
    <col min="2" max="2" width="22.81640625" customWidth="1"/>
    <col min="3" max="3" width="25.6328125" customWidth="1"/>
    <col min="4" max="4" width="22.7265625" customWidth="1"/>
  </cols>
  <sheetData>
    <row r="1" spans="1:3" ht="18">
      <c r="A1" s="13" t="s">
        <v>1472</v>
      </c>
      <c r="B1" s="13" t="s">
        <v>1445</v>
      </c>
      <c r="C1" s="13" t="s">
        <v>1446</v>
      </c>
    </row>
    <row r="2" spans="1:3">
      <c r="A2" s="4" t="s">
        <v>20</v>
      </c>
      <c r="B2" s="4">
        <f>AVERAGEIFS(experiment_data!K:K,experiment_data!C:C,"Control",experiment_data!F:F,"Email")</f>
        <v>2.7027027027027029E-2</v>
      </c>
      <c r="C2" s="4">
        <f>AVERAGEIFS(experiment_data!K:K,experiment_data!C:C,"Treatment",experiment_data!F:F,"Email")</f>
        <v>7.1428571428571425E-2</v>
      </c>
    </row>
    <row r="3" spans="1:3">
      <c r="A3" s="4" t="s">
        <v>25</v>
      </c>
      <c r="B3" s="4">
        <f>AVERAGEIFS(experiment_data!K:K,experiment_data!C:C,"Control",experiment_data!F:F,"Organic")</f>
        <v>2.032520325203252E-2</v>
      </c>
      <c r="C3" s="4">
        <f>AVERAGEIFS(experiment_data!K:K,experiment_data!C:C,"Treatment",experiment_data!F:F,"Organic")</f>
        <v>6.2240663900414939E-2</v>
      </c>
    </row>
    <row r="4" spans="1:3">
      <c r="A4" s="4" t="s">
        <v>29</v>
      </c>
      <c r="B4" s="4">
        <f>AVERAGEIFS(experiment_data!K:K,experiment_data!C:C,"Control",experiment_data!F:F,"Paid Search")</f>
        <v>1.282051282051282E-2</v>
      </c>
      <c r="C4" s="4">
        <f>AVERAGEIFS(experiment_data!K:K,experiment_data!C:C,"Treatment",experiment_data!F:F,"Paid Search")</f>
        <v>6.25E-2</v>
      </c>
    </row>
    <row r="5" spans="1:3">
      <c r="A5" s="4" t="s">
        <v>39</v>
      </c>
      <c r="B5" s="4">
        <f>AVERAGEIFS(experiment_data!K:K,experiment_data!C:C,"Control",experiment_data!F:F,"Referral")</f>
        <v>2.4691358024691357E-2</v>
      </c>
      <c r="C5" s="4">
        <f>AVERAGEIFS(experiment_data!K:K,experiment_data!C:C,"Treatment",experiment_data!F:F,"Referral")</f>
        <v>0.10989010989010989</v>
      </c>
    </row>
    <row r="6" spans="1:3">
      <c r="A6" s="4" t="s">
        <v>41</v>
      </c>
      <c r="B6" s="4">
        <f>AVERAGEIFS(experiment_data!K:K,experiment_data!C:C,"Control",experiment_data!F:F,"Social")</f>
        <v>7.6923076923076927E-2</v>
      </c>
      <c r="C6" s="4">
        <f>AVERAGEIFS(experiment_data!K:K,experiment_data!C:C,"Treatment",experiment_data!F:F,"Social")</f>
        <v>6.0150375939849621E-2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5E31-ADE9-4F48-A81E-B56153E23DAF}">
  <dimension ref="A1:C6"/>
  <sheetViews>
    <sheetView workbookViewId="0">
      <selection activeCell="B1" sqref="B1"/>
    </sheetView>
  </sheetViews>
  <sheetFormatPr defaultRowHeight="14.5"/>
  <cols>
    <col min="1" max="1" width="7.90625" customWidth="1"/>
    <col min="2" max="2" width="20.54296875" customWidth="1"/>
    <col min="3" max="3" width="23.08984375" customWidth="1"/>
  </cols>
  <sheetData>
    <row r="1" spans="1:3" ht="29">
      <c r="A1" s="7" t="s">
        <v>1444</v>
      </c>
      <c r="B1" s="7" t="s">
        <v>1445</v>
      </c>
      <c r="C1" s="7" t="s">
        <v>1446</v>
      </c>
    </row>
    <row r="2" spans="1:3" ht="18" customHeight="1">
      <c r="A2" s="8" t="s">
        <v>18</v>
      </c>
      <c r="B2" s="9">
        <f>COUNTIFS(experiment_data!D:D,"North",experiment_data!C:C,"Control",experiment_data!K:K,1)/COUNTIFS(experiment_data!D:D,"North",experiment_data!C:C,"Control")</f>
        <v>3.4482758620689655E-2</v>
      </c>
      <c r="C2" s="9">
        <f>COUNTIFS(experiment_data!D:D,"North",experiment_data!C:C,"Treatment",experiment_data!K:K,1)/COUNTIFS(experiment_data!D:D,"North",experiment_data!C:C,"Treatment")</f>
        <v>8.8888888888888892E-2</v>
      </c>
    </row>
    <row r="3" spans="1:3">
      <c r="A3" s="8" t="s">
        <v>32</v>
      </c>
      <c r="B3" s="9">
        <f>COUNTIFS(experiment_data!D:D,"South",experiment_data!C:C,"Control",experiment_data!K:K,1)/COUNTIFS(experiment_data!D:D,"South",experiment_data!C:C,"Control")</f>
        <v>3.2608695652173912E-2</v>
      </c>
      <c r="C3" s="9">
        <f>COUNTIFS(experiment_data!D:D,"South",experiment_data!C:C,"Treatment",experiment_data!K:K,1)/COUNTIFS(experiment_data!D:D,"South",experiment_data!C:C,"Treatment")</f>
        <v>7.6086956521739135E-2</v>
      </c>
    </row>
    <row r="4" spans="1:3">
      <c r="A4" s="8" t="s">
        <v>28</v>
      </c>
      <c r="B4" s="9">
        <f>COUNTIFS(experiment_data!D:D,"East",experiment_data!C:C,"Control",experiment_data!K:K,1)/COUNTIFS(experiment_data!D:D,"East",experiment_data!C:C,"Control")</f>
        <v>2.5316455696202531E-2</v>
      </c>
      <c r="C4" s="9">
        <f>COUNTIFS(experiment_data!D:D,"East",experiment_data!C:C,"Treatment",experiment_data!K:K,1)/COUNTIFS(experiment_data!D:D,"East",experiment_data!C:C,"Treatment")</f>
        <v>6.3953488372093026E-2</v>
      </c>
    </row>
    <row r="5" spans="1:3">
      <c r="A5" s="8" t="s">
        <v>23</v>
      </c>
      <c r="B5" s="9">
        <f>COUNTIFS(experiment_data!D:D,"West",experiment_data!C:C,"Control",experiment_data!K:K,1)/COUNTIFS(experiment_data!D:D,"West",experiment_data!C:C,"Control")</f>
        <v>3.3783783783783786E-2</v>
      </c>
      <c r="C5" s="9">
        <f>COUNTIFS(experiment_data!D:D,"West",experiment_data!C:C,"Treatment",experiment_data!K:K,1)/COUNTIFS(experiment_data!D:D,"West",experiment_data!C:C,"Treatment")</f>
        <v>5.027932960893855E-2</v>
      </c>
    </row>
    <row r="6" spans="1:3">
      <c r="A6" s="8"/>
      <c r="B6" s="8"/>
      <c r="C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B466-A338-4DC0-A98F-B4B8DD790178}">
  <dimension ref="A1:C4"/>
  <sheetViews>
    <sheetView workbookViewId="0">
      <selection sqref="A1:C4"/>
    </sheetView>
  </sheetViews>
  <sheetFormatPr defaultRowHeight="14.5"/>
  <cols>
    <col min="2" max="2" width="20.81640625" customWidth="1"/>
    <col min="3" max="3" width="22.6328125" customWidth="1"/>
  </cols>
  <sheetData>
    <row r="1" spans="1:3" ht="29">
      <c r="A1" s="7" t="s">
        <v>1447</v>
      </c>
      <c r="B1" s="7" t="s">
        <v>1445</v>
      </c>
      <c r="C1" s="7" t="s">
        <v>1446</v>
      </c>
    </row>
    <row r="2" spans="1:3">
      <c r="A2" s="8" t="s">
        <v>19</v>
      </c>
      <c r="B2" s="8">
        <f>COUNTIFS(experiment_data!E:E,"Desktop",experiment_data!C:C,"Control",experiment_data!K:K,1)/COUNTIFS(experiment_data!E:E,"Desktop",experiment_data!C:C,"Control")</f>
        <v>4.4999999999999998E-2</v>
      </c>
      <c r="C2" s="8">
        <f>COUNTIFS(experiment_data!E:E,"Desktop",experiment_data!C:C,"Treatment",experiment_data!K:K,1)/COUNTIFS(experiment_data!E:E,"Desktop",experiment_data!C:C,"Treatment")</f>
        <v>6.5420560747663545E-2</v>
      </c>
    </row>
    <row r="3" spans="1:3">
      <c r="A3" s="8" t="s">
        <v>24</v>
      </c>
      <c r="B3" s="8">
        <f>COUNTIFS(experiment_data!E:E,"Mobile",experiment_data!C:C,"Control",experiment_data!K:K,1)/COUNTIFS(experiment_data!E:E,"Mobile",experiment_data!C:C,"Control")</f>
        <v>2.5700934579439252E-2</v>
      </c>
      <c r="C3" s="8">
        <f>COUNTIFS(experiment_data!E:E,"Mobile",experiment_data!C:C,"Treatment",experiment_data!K:K,1)/COUNTIFS(experiment_data!E:E,"Mobile",experiment_data!C:C,"Treatment")</f>
        <v>7.3394495412844041E-2</v>
      </c>
    </row>
    <row r="4" spans="1:3">
      <c r="A4" s="12" t="s">
        <v>34</v>
      </c>
      <c r="B4" s="12">
        <f>AVERAGEIFS(experiment_data!K:K,experiment_data!C:C,"Control",experiment_data!E:E,"Tablet")</f>
        <v>1.7857142857142856E-2</v>
      </c>
      <c r="C4">
        <f>AVERAGEIFS(experiment_data!K:K,experiment_data!C:C,"Treatment",experiment_data!E:E,"Tablet")</f>
        <v>7.1428571428571425E-2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1CBF-92CA-4133-A307-86400381B744}">
  <dimension ref="A1:B7"/>
  <sheetViews>
    <sheetView workbookViewId="0">
      <selection activeCell="H17" sqref="H17"/>
    </sheetView>
  </sheetViews>
  <sheetFormatPr defaultRowHeight="14.5"/>
  <cols>
    <col min="1" max="1" width="20.453125" customWidth="1"/>
    <col min="2" max="2" width="8.7265625" customWidth="1"/>
  </cols>
  <sheetData>
    <row r="1" spans="1:2">
      <c r="A1" s="7" t="s">
        <v>1448</v>
      </c>
      <c r="B1" s="7" t="s">
        <v>1449</v>
      </c>
    </row>
    <row r="2" spans="1:2">
      <c r="A2" s="8" t="s">
        <v>1450</v>
      </c>
      <c r="B2" s="8" t="s">
        <v>1451</v>
      </c>
    </row>
    <row r="3" spans="1:2">
      <c r="A3" s="8" t="s">
        <v>1452</v>
      </c>
      <c r="B3" s="8" t="s">
        <v>1451</v>
      </c>
    </row>
    <row r="4" spans="1:2">
      <c r="A4" s="8" t="s">
        <v>1453</v>
      </c>
      <c r="B4" s="8" t="s">
        <v>1451</v>
      </c>
    </row>
    <row r="5" spans="1:2" ht="29">
      <c r="A5" s="8" t="s">
        <v>1454</v>
      </c>
      <c r="B5" s="8" t="s">
        <v>1455</v>
      </c>
    </row>
    <row r="6" spans="1:2">
      <c r="A6" s="8" t="s">
        <v>1456</v>
      </c>
      <c r="B6" s="8">
        <v>693</v>
      </c>
    </row>
    <row r="7" spans="1:2">
      <c r="A7" s="8" t="s">
        <v>1457</v>
      </c>
      <c r="B7" s="8">
        <v>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7384-029F-4DE1-8E37-14FF4BF4B19F}">
  <dimension ref="A1:B10"/>
  <sheetViews>
    <sheetView tabSelected="1" workbookViewId="0">
      <selection activeCell="C13" sqref="C13"/>
    </sheetView>
  </sheetViews>
  <sheetFormatPr defaultRowHeight="14.5"/>
  <cols>
    <col min="1" max="1" width="26.26953125" customWidth="1"/>
    <col min="2" max="2" width="17" customWidth="1"/>
  </cols>
  <sheetData>
    <row r="1" spans="1:2">
      <c r="A1" s="7" t="s">
        <v>1458</v>
      </c>
      <c r="B1" s="7" t="s">
        <v>1459</v>
      </c>
    </row>
    <row r="2" spans="1:2" ht="29">
      <c r="A2" s="8" t="s">
        <v>1460</v>
      </c>
      <c r="B2" s="8" t="s">
        <v>1437</v>
      </c>
    </row>
    <row r="3" spans="1:2">
      <c r="A3" s="8" t="s">
        <v>1445</v>
      </c>
      <c r="B3" s="9">
        <v>3.1699999999999999E-2</v>
      </c>
    </row>
    <row r="4" spans="1:2">
      <c r="A4" s="8" t="s">
        <v>1446</v>
      </c>
      <c r="B4" s="9">
        <v>6.9900000000000004E-2</v>
      </c>
    </row>
    <row r="5" spans="1:2">
      <c r="A5" s="8" t="s">
        <v>1461</v>
      </c>
      <c r="B5" s="8" t="s">
        <v>1462</v>
      </c>
    </row>
    <row r="6" spans="1:2">
      <c r="A6" s="8" t="s">
        <v>1463</v>
      </c>
      <c r="B6" s="8" t="s">
        <v>1464</v>
      </c>
    </row>
    <row r="7" spans="1:2">
      <c r="A7" s="8" t="s">
        <v>1465</v>
      </c>
      <c r="B7" s="8">
        <v>0.05</v>
      </c>
    </row>
    <row r="8" spans="1:2">
      <c r="A8" s="8" t="s">
        <v>1466</v>
      </c>
      <c r="B8" s="8" t="s">
        <v>1467</v>
      </c>
    </row>
    <row r="9" spans="1:2">
      <c r="A9" s="8" t="s">
        <v>1468</v>
      </c>
      <c r="B9" s="8" t="s">
        <v>1469</v>
      </c>
    </row>
    <row r="10" spans="1:2">
      <c r="A10" s="8" t="s">
        <v>1473</v>
      </c>
      <c r="B10">
        <f>_xlfn.T.TEST(experiment_data!K2:K694,experiment_data!K695:K1409,1,3)</f>
        <v>5.32848716722942E-4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experiment_data</vt:lpstr>
      <vt:lpstr>Summary_Metrics</vt:lpstr>
      <vt:lpstr>Traffic_Analysis</vt:lpstr>
      <vt:lpstr>Region_Analysis</vt:lpstr>
      <vt:lpstr>Device_Analysis</vt:lpstr>
      <vt:lpstr>Data_Validation    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rao</dc:creator>
  <cp:lastModifiedBy>satya rao</cp:lastModifiedBy>
  <dcterms:created xsi:type="dcterms:W3CDTF">2026-06-20T13:01:21Z</dcterms:created>
  <dcterms:modified xsi:type="dcterms:W3CDTF">2026-06-27T13:49:00Z</dcterms:modified>
</cp:coreProperties>
</file>